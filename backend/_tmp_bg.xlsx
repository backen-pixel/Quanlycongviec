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TỦ BẾP\BÁO GIÁ 2026\BÁO GIÁ THÁNG 4\"/>
    </mc:Choice>
  </mc:AlternateContent>
  <xr:revisionPtr revIDLastSave="0" documentId="8_{92575B4D-6E16-4126-8AD6-C0AD500CD580}" xr6:coauthVersionLast="36" xr6:coauthVersionMax="36" xr10:uidLastSave="{00000000-0000-0000-0000-000000000000}"/>
  <bookViews>
    <workbookView xWindow="0" yWindow="0" windowWidth="23040" windowHeight="8940" xr2:uid="{75B4FECE-575D-43AC-929B-98BB77AD273D}"/>
  </bookViews>
  <sheets>
    <sheet name="chị tuyết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1" l="1"/>
  <c r="K28" i="1"/>
  <c r="M28" i="1" s="1"/>
  <c r="M27" i="1"/>
  <c r="L27" i="1"/>
  <c r="K27" i="1"/>
  <c r="L26" i="1"/>
  <c r="K26" i="1"/>
  <c r="M26" i="1" s="1"/>
  <c r="L25" i="1"/>
  <c r="K25" i="1"/>
  <c r="M25" i="1" s="1"/>
  <c r="L24" i="1"/>
  <c r="L29" i="1" s="1"/>
  <c r="K24" i="1"/>
  <c r="M24" i="1" s="1"/>
  <c r="L20" i="1"/>
  <c r="K20" i="1"/>
  <c r="M20" i="1" s="1"/>
  <c r="M19" i="1"/>
  <c r="L19" i="1"/>
  <c r="K19" i="1"/>
  <c r="L18" i="1"/>
  <c r="K18" i="1"/>
  <c r="M18" i="1" s="1"/>
  <c r="M21" i="1" s="1"/>
  <c r="L15" i="1"/>
  <c r="M14" i="1"/>
  <c r="L14" i="1"/>
  <c r="K14" i="1"/>
  <c r="G14" i="1"/>
  <c r="L13" i="1"/>
  <c r="K13" i="1"/>
  <c r="M13" i="1" s="1"/>
  <c r="M15" i="1" s="1"/>
  <c r="G13" i="1"/>
  <c r="M29" i="1" l="1"/>
  <c r="M30" i="1" s="1"/>
</calcChain>
</file>

<file path=xl/sharedStrings.xml><?xml version="1.0" encoding="utf-8"?>
<sst xmlns="http://schemas.openxmlformats.org/spreadsheetml/2006/main" count="85" uniqueCount="57">
  <si>
    <t xml:space="preserve">
CÔNG TY TNHH BẾP VẠN PHÚ THÀNH
Trụ sở chính: 56 Lê Thúc Hoạch, Phường Phú Thọ Hoà Tp Hồ Chí Minh, VN 
VP đại diện: 172 đường 3/2 Tân An, Ninh Kiều, Cần Thơ  
MST: 0316 40 9790
TK số : 1500 5678 Ngân hàng ACB - PGD Tân Hương 
Mail: ketoan.vanphuthanh@gmail.com</t>
  </si>
  <si>
    <t>BẢNG BÁO GIÁ TỦ BẾP NHÔM</t>
  </si>
  <si>
    <t>CÔNG TY TNHH BẾP VẠN PHÚ THÀNH  xin chân thành cảm ơn quý khách đã quan tâm đến dịch vụ và sản phẩm của công ty.</t>
  </si>
  <si>
    <t>BẾP VẠN PHÚ THÀNH xin gửi đến quý khách bảng báo giá như sau:</t>
  </si>
  <si>
    <t>Tên khách hàng;  CHỊ TUYẾT</t>
  </si>
  <si>
    <t>Phụ trách KD:</t>
  </si>
  <si>
    <t xml:space="preserve"> </t>
  </si>
  <si>
    <t xml:space="preserve">Địa chỉ: </t>
  </si>
  <si>
    <t>SĐT:</t>
  </si>
  <si>
    <t>SĐT liên lạc:</t>
  </si>
  <si>
    <t>Email:</t>
  </si>
  <si>
    <t>STT</t>
  </si>
  <si>
    <t>HẠNG MỤC THI CÔNG</t>
  </si>
  <si>
    <t>ĐVT</t>
  </si>
  <si>
    <t>Dài 
(m)</t>
  </si>
  <si>
    <t>Quy Cách</t>
  </si>
  <si>
    <t>Đơn Giá</t>
  </si>
  <si>
    <t>% Chiết Khấu</t>
  </si>
  <si>
    <t>Đơn Giá Sau Chiết Khấu</t>
  </si>
  <si>
    <t>Số Tiền Chiết Khấu</t>
  </si>
  <si>
    <t>Thành Tiền (VNĐ)</t>
  </si>
  <si>
    <t>Diễn Giải Hạng Mục</t>
  </si>
  <si>
    <t>Cao 
(m)</t>
  </si>
  <si>
    <t>Ngang (m)</t>
  </si>
  <si>
    <t>Sâu
(m)</t>
  </si>
  <si>
    <t>I. TỦ BẾP</t>
  </si>
  <si>
    <r>
      <t xml:space="preserve">TỦ BẾP TRÊN  nhôm ghép Bản lớn tay nắm CNC  </t>
    </r>
    <r>
      <rPr>
        <sz val="20"/>
        <color rgb="FFFF0000"/>
        <rFont val="Times New Roman"/>
        <family val="1"/>
      </rPr>
      <t>kính 4 ly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380</t>
    </r>
  </si>
  <si>
    <t>Md</t>
  </si>
  <si>
    <r>
      <t xml:space="preserve">* Tủ bếp nhôm mặt kính phủ màu ( khách chọn ).
      * nhôm 16x100x1.1mm tấm nhôm lắp ghép bản lớn.
*  Khung cánh nhôm tay nắm CNC  mặt kính sơn màu (khách chọn).
*  Mặt lưng tấm aluminium dày 3mm chống thấm nước, chống mối mọt.
*  Vách ngăn tủ là nhôm đồng bộ
</t>
    </r>
    <r>
      <rPr>
        <sz val="24"/>
        <color rgb="FFFF0000"/>
        <rFont val="Times New Roman"/>
        <family val="1"/>
      </rPr>
      <t>*  Bản lề inox 304 Hefele , bảo hành 5 năm.
* Hộc kéo ray âm Hafele giảm chấn</t>
    </r>
  </si>
  <si>
    <r>
      <t xml:space="preserve">TỦ BẾP DƯỚI nhôm ghép Bản lớn tay nắm CNC </t>
    </r>
    <r>
      <rPr>
        <sz val="20"/>
        <color rgb="FFFF0000"/>
        <rFont val="Times New Roman"/>
        <family val="1"/>
      </rPr>
      <t xml:space="preserve">kính 4 ly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610</t>
    </r>
  </si>
  <si>
    <t>TỔNG CỘNG (1)</t>
  </si>
  <si>
    <t>II. HẠNG MỤC ĐÁ + ỐP BẾP + ĐÈN LED</t>
  </si>
  <si>
    <t>TÊN SẢN PHẨM</t>
  </si>
  <si>
    <t>Kính ốp 8 ly cường lực sơn màu</t>
  </si>
  <si>
    <t>Sơn đơn sắc</t>
  </si>
  <si>
    <t>Đá ốp bếp nhân tạo - nung kết</t>
  </si>
  <si>
    <t>Đá ốp bếp 
Độ dày 15mm 
Gia công chỉ đá 40mm</t>
  </si>
  <si>
    <t xml:space="preserve">Đèn led có nẹp nhôm lắp ở dưới đáy tủ trên, bàn đảo, tủ li, tủ chén , màu trung tính , trắng … </t>
  </si>
  <si>
    <t>TỔNG CỘNG (2)</t>
  </si>
  <si>
    <t>III. PHỤ KIỆN EUROGOOD BẢN HÀNH BỀ MẶT INOX RỈ SÉT TRỌN ĐỜI.</t>
  </si>
  <si>
    <t>MÃ HÀNG</t>
  </si>
  <si>
    <t>Số Lượng</t>
  </si>
  <si>
    <t>%Chiết khấu</t>
  </si>
  <si>
    <t>Thành Tiền(VNĐ)</t>
  </si>
  <si>
    <t>HF25</t>
  </si>
  <si>
    <t>TAY NÂNG BLUM</t>
  </si>
  <si>
    <t>Bộ</t>
  </si>
  <si>
    <t>EUT9180VX</t>
  </si>
  <si>
    <t>GIÁ BÁT ĐĨA DI ĐỘNG</t>
  </si>
  <si>
    <t>EPD6280VX</t>
  </si>
  <si>
    <t>GIÁ XOONG NỒI SUS304, NAN DẸT</t>
  </si>
  <si>
    <t>EPD7280VX</t>
  </si>
  <si>
    <t>GIÁ BÁT ĐĨA INOX SUS304, NAN DẸT</t>
  </si>
  <si>
    <t>EPD52240VX</t>
  </si>
  <si>
    <t>GIÁ GIA VỊ ĐA NĂNG, DAO THỚT, NAN DẸT</t>
  </si>
  <si>
    <t>TỔNG CỘNG (3)</t>
  </si>
  <si>
    <t>TỔNG CỘNG (1+2+3):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</si>
</sst>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  <font>
      <b/>
      <sz val="50"/>
      <color rgb="FFFF0000"/>
      <name val="Times New Roman"/>
      <family val="1"/>
    </font>
    <font>
      <b/>
      <sz val="20"/>
      <name val="Times New Roman"/>
      <family val="1"/>
    </font>
    <font>
      <sz val="11"/>
      <color rgb="FF000000"/>
      <name val="Times New Roman"/>
      <family val="1"/>
    </font>
    <font>
      <b/>
      <sz val="24"/>
      <name val="Times New Roman"/>
      <family val="1"/>
    </font>
    <font>
      <sz val="24"/>
      <color rgb="FF000000"/>
      <name val="Times New Roman"/>
      <family val="1"/>
    </font>
    <font>
      <sz val="20"/>
      <name val="Times New Roman"/>
      <family val="1"/>
    </font>
    <font>
      <sz val="20"/>
      <color rgb="FFFF0000"/>
      <name val="Times New Roman"/>
      <family val="1"/>
    </font>
    <font>
      <sz val="24"/>
      <color rgb="FFFF0000"/>
      <name val="Times New Roman"/>
      <family val="1"/>
    </font>
    <font>
      <b/>
      <sz val="20"/>
      <color rgb="FFFF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22"/>
      <color rgb="FF000000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CD0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5">
    <xf numFmtId="0" fontId="0" fillId="0" borderId="0" xfId="0"/>
    <xf numFmtId="0" fontId="2" fillId="2" borderId="1" xfId="3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2" fillId="2" borderId="0" xfId="3" applyFont="1" applyFill="1" applyBorder="1" applyAlignment="1">
      <alignment vertical="center"/>
    </xf>
    <xf numFmtId="0" fontId="3" fillId="2" borderId="0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5" fillId="2" borderId="0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top"/>
    </xf>
    <xf numFmtId="0" fontId="5" fillId="2" borderId="5" xfId="3" applyFont="1" applyFill="1" applyBorder="1" applyAlignment="1">
      <alignment horizontal="center" vertical="top"/>
    </xf>
    <xf numFmtId="0" fontId="5" fillId="2" borderId="0" xfId="3" applyFont="1" applyFill="1" applyBorder="1" applyAlignment="1">
      <alignment vertical="top"/>
    </xf>
    <xf numFmtId="0" fontId="5" fillId="2" borderId="0" xfId="3" applyFont="1" applyFill="1" applyBorder="1" applyAlignment="1">
      <alignment horizontal="center" vertical="top"/>
    </xf>
    <xf numFmtId="0" fontId="5" fillId="2" borderId="6" xfId="3" applyFont="1" applyFill="1" applyBorder="1" applyAlignment="1">
      <alignment horizontal="center" vertical="top"/>
    </xf>
    <xf numFmtId="0" fontId="2" fillId="2" borderId="0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" fillId="2" borderId="0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" fillId="2" borderId="0" xfId="3" applyFont="1" applyFill="1" applyBorder="1" applyAlignment="1">
      <alignment horizontal="left" vertical="center"/>
    </xf>
    <xf numFmtId="0" fontId="2" fillId="2" borderId="0" xfId="3" applyFont="1" applyFill="1" applyBorder="1" applyAlignment="1">
      <alignment horizontal="right" vertical="center"/>
    </xf>
    <xf numFmtId="0" fontId="2" fillId="2" borderId="0" xfId="3" applyFont="1" applyFill="1" applyBorder="1" applyAlignment="1">
      <alignment vertical="center"/>
    </xf>
    <xf numFmtId="0" fontId="2" fillId="2" borderId="0" xfId="3" applyFont="1" applyFill="1" applyBorder="1" applyAlignment="1">
      <alignment horizontal="left" vertical="center"/>
    </xf>
    <xf numFmtId="0" fontId="5" fillId="2" borderId="0" xfId="3" applyFont="1" applyFill="1" applyBorder="1" applyAlignment="1">
      <alignment horizontal="center" vertical="center"/>
    </xf>
    <xf numFmtId="14" fontId="2" fillId="2" borderId="0" xfId="3" applyNumberFormat="1" applyFont="1" applyFill="1" applyBorder="1" applyAlignment="1">
      <alignment horizontal="center" vertical="center"/>
    </xf>
    <xf numFmtId="0" fontId="5" fillId="3" borderId="7" xfId="3" applyFont="1" applyFill="1" applyBorder="1" applyAlignment="1">
      <alignment horizontal="center" vertical="center" wrapText="1"/>
    </xf>
    <xf numFmtId="0" fontId="5" fillId="3" borderId="8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 wrapText="1"/>
    </xf>
    <xf numFmtId="0" fontId="2" fillId="3" borderId="7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/>
    </xf>
    <xf numFmtId="0" fontId="5" fillId="3" borderId="9" xfId="3" applyFont="1" applyFill="1" applyBorder="1" applyAlignment="1">
      <alignment horizontal="center" vertical="center" wrapText="1"/>
    </xf>
    <xf numFmtId="0" fontId="5" fillId="3" borderId="10" xfId="3" applyFont="1" applyFill="1" applyBorder="1" applyAlignment="1">
      <alignment horizontal="center" vertical="center" wrapText="1"/>
    </xf>
    <xf numFmtId="0" fontId="5" fillId="3" borderId="11" xfId="3" applyFont="1" applyFill="1" applyBorder="1" applyAlignment="1">
      <alignment horizontal="center" vertical="center" wrapText="1"/>
    </xf>
    <xf numFmtId="0" fontId="2" fillId="3" borderId="9" xfId="3" applyFont="1" applyFill="1" applyBorder="1" applyAlignment="1">
      <alignment horizontal="center" vertical="center" wrapText="1"/>
    </xf>
    <xf numFmtId="0" fontId="5" fillId="3" borderId="12" xfId="3" applyFont="1" applyFill="1" applyBorder="1" applyAlignment="1">
      <alignment horizontal="center" vertical="center" wrapText="1"/>
    </xf>
    <xf numFmtId="0" fontId="7" fillId="4" borderId="8" xfId="3" applyFont="1" applyFill="1" applyBorder="1" applyAlignment="1">
      <alignment horizontal="left" vertical="center" wrapText="1"/>
    </xf>
    <xf numFmtId="0" fontId="7" fillId="4" borderId="4" xfId="3" applyFont="1" applyFill="1" applyBorder="1" applyAlignment="1">
      <alignment horizontal="left" vertical="center" wrapText="1"/>
    </xf>
    <xf numFmtId="0" fontId="7" fillId="4" borderId="5" xfId="3" applyFont="1" applyFill="1" applyBorder="1" applyAlignment="1">
      <alignment horizontal="left" vertical="center" wrapText="1"/>
    </xf>
    <xf numFmtId="0" fontId="8" fillId="0" borderId="0" xfId="3" applyFont="1" applyFill="1" applyBorder="1" applyAlignment="1">
      <alignment horizontal="center" vertical="center"/>
    </xf>
    <xf numFmtId="1" fontId="3" fillId="0" borderId="13" xfId="3" applyNumberFormat="1" applyFont="1" applyFill="1" applyBorder="1" applyAlignment="1">
      <alignment horizontal="center" vertical="center" shrinkToFit="1"/>
    </xf>
    <xf numFmtId="0" fontId="9" fillId="0" borderId="12" xfId="3" applyFont="1" applyFill="1" applyBorder="1" applyAlignment="1">
      <alignment horizontal="left" vertical="center" wrapText="1"/>
    </xf>
    <xf numFmtId="0" fontId="9" fillId="0" borderId="14" xfId="3" applyFont="1" applyFill="1" applyBorder="1" applyAlignment="1">
      <alignment horizontal="center" vertical="center" wrapText="1"/>
    </xf>
    <xf numFmtId="164" fontId="10" fillId="0" borderId="12" xfId="3" applyNumberFormat="1" applyFont="1" applyFill="1" applyBorder="1" applyAlignment="1">
      <alignment horizontal="center" vertical="center" shrinkToFit="1"/>
    </xf>
    <xf numFmtId="164" fontId="3" fillId="0" borderId="15" xfId="3" applyNumberFormat="1" applyFont="1" applyFill="1" applyBorder="1" applyAlignment="1">
      <alignment horizontal="center" vertical="center" shrinkToFit="1"/>
    </xf>
    <xf numFmtId="3" fontId="3" fillId="0" borderId="12" xfId="3" applyNumberFormat="1" applyFont="1" applyFill="1" applyBorder="1" applyAlignment="1">
      <alignment horizontal="center" vertical="center" shrinkToFit="1"/>
    </xf>
    <xf numFmtId="9" fontId="3" fillId="0" borderId="12" xfId="3" applyNumberFormat="1" applyFont="1" applyFill="1" applyBorder="1" applyAlignment="1">
      <alignment horizontal="center" vertical="center" shrinkToFit="1"/>
    </xf>
    <xf numFmtId="165" fontId="3" fillId="0" borderId="12" xfId="1" applyNumberFormat="1" applyFont="1" applyFill="1" applyBorder="1" applyAlignment="1">
      <alignment horizontal="center" vertical="center" shrinkToFit="1"/>
    </xf>
    <xf numFmtId="0" fontId="8" fillId="0" borderId="7" xfId="3" applyFont="1" applyFill="1" applyBorder="1" applyAlignment="1">
      <alignment horizontal="center" vertical="center" wrapText="1"/>
    </xf>
    <xf numFmtId="3" fontId="6" fillId="0" borderId="0" xfId="3" applyNumberFormat="1" applyFont="1" applyFill="1" applyBorder="1" applyAlignment="1">
      <alignment horizontal="center" vertical="center"/>
    </xf>
    <xf numFmtId="0" fontId="8" fillId="0" borderId="16" xfId="3" applyFont="1" applyFill="1" applyBorder="1" applyAlignment="1">
      <alignment horizontal="center" vertical="center" wrapText="1"/>
    </xf>
    <xf numFmtId="1" fontId="3" fillId="5" borderId="12" xfId="3" applyNumberFormat="1" applyFont="1" applyFill="1" applyBorder="1" applyAlignment="1">
      <alignment horizontal="center" vertical="center" shrinkToFit="1"/>
    </xf>
    <xf numFmtId="0" fontId="5" fillId="5" borderId="1" xfId="3" applyFont="1" applyFill="1" applyBorder="1" applyAlignment="1">
      <alignment horizontal="center" vertical="center" wrapText="1"/>
    </xf>
    <xf numFmtId="0" fontId="5" fillId="5" borderId="3" xfId="3" applyFont="1" applyFill="1" applyBorder="1" applyAlignment="1">
      <alignment horizontal="center" vertical="center" wrapText="1"/>
    </xf>
    <xf numFmtId="0" fontId="5" fillId="5" borderId="12" xfId="3" applyFont="1" applyFill="1" applyBorder="1" applyAlignment="1">
      <alignment horizontal="center" vertical="center" wrapText="1"/>
    </xf>
    <xf numFmtId="164" fontId="12" fillId="5" borderId="12" xfId="3" applyNumberFormat="1" applyFont="1" applyFill="1" applyBorder="1" applyAlignment="1">
      <alignment horizontal="center" vertical="center" shrinkToFit="1"/>
    </xf>
    <xf numFmtId="164" fontId="2" fillId="5" borderId="12" xfId="3" applyNumberFormat="1" applyFont="1" applyFill="1" applyBorder="1" applyAlignment="1">
      <alignment horizontal="center" vertical="center" shrinkToFit="1"/>
    </xf>
    <xf numFmtId="3" fontId="2" fillId="5" borderId="12" xfId="3" applyNumberFormat="1" applyFont="1" applyFill="1" applyBorder="1" applyAlignment="1">
      <alignment horizontal="center" vertical="center"/>
    </xf>
    <xf numFmtId="9" fontId="2" fillId="5" borderId="12" xfId="3" applyNumberFormat="1" applyFont="1" applyFill="1" applyBorder="1" applyAlignment="1">
      <alignment horizontal="center" vertical="center" shrinkToFit="1"/>
    </xf>
    <xf numFmtId="165" fontId="2" fillId="5" borderId="12" xfId="3" applyNumberFormat="1" applyFont="1" applyFill="1" applyBorder="1" applyAlignment="1">
      <alignment horizontal="center" vertical="center" shrinkToFit="1"/>
    </xf>
    <xf numFmtId="3" fontId="2" fillId="5" borderId="12" xfId="3" applyNumberFormat="1" applyFont="1" applyFill="1" applyBorder="1" applyAlignment="1">
      <alignment horizontal="center" vertical="center" shrinkToFit="1"/>
    </xf>
    <xf numFmtId="0" fontId="8" fillId="0" borderId="9" xfId="3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left" vertical="center" wrapText="1"/>
    </xf>
    <xf numFmtId="0" fontId="7" fillId="4" borderId="2" xfId="3" applyFont="1" applyFill="1" applyBorder="1" applyAlignment="1">
      <alignment horizontal="left" vertical="center" wrapText="1"/>
    </xf>
    <xf numFmtId="0" fontId="7" fillId="4" borderId="3" xfId="3" applyFont="1" applyFill="1" applyBorder="1" applyAlignment="1">
      <alignment horizontal="left" vertical="center" wrapText="1"/>
    </xf>
    <xf numFmtId="0" fontId="5" fillId="4" borderId="12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 wrapText="1"/>
    </xf>
    <xf numFmtId="1" fontId="3" fillId="0" borderId="12" xfId="3" applyNumberFormat="1" applyFont="1" applyFill="1" applyBorder="1" applyAlignment="1">
      <alignment horizontal="center" vertical="center" shrinkToFit="1"/>
    </xf>
    <xf numFmtId="0" fontId="9" fillId="0" borderId="1" xfId="3" applyFont="1" applyFill="1" applyBorder="1" applyAlignment="1">
      <alignment horizontal="left" vertical="center" wrapText="1"/>
    </xf>
    <xf numFmtId="0" fontId="9" fillId="0" borderId="3" xfId="3" applyFont="1" applyFill="1" applyBorder="1" applyAlignment="1">
      <alignment horizontal="left" vertical="center" wrapText="1"/>
    </xf>
    <xf numFmtId="0" fontId="9" fillId="0" borderId="12" xfId="3" applyFont="1" applyFill="1" applyBorder="1" applyAlignment="1">
      <alignment horizontal="center" vertical="center" wrapText="1"/>
    </xf>
    <xf numFmtId="164" fontId="3" fillId="0" borderId="12" xfId="3" applyNumberFormat="1" applyFont="1" applyFill="1" applyBorder="1" applyAlignment="1">
      <alignment horizontal="center" vertical="center" shrinkToFit="1"/>
    </xf>
    <xf numFmtId="3" fontId="3" fillId="0" borderId="12" xfId="3" applyNumberFormat="1" applyFont="1" applyFill="1" applyBorder="1" applyAlignment="1">
      <alignment horizontal="center" vertical="center"/>
    </xf>
    <xf numFmtId="9" fontId="3" fillId="0" borderId="12" xfId="2" applyFont="1" applyFill="1" applyBorder="1" applyAlignment="1">
      <alignment horizontal="center" vertical="center" shrinkToFit="1"/>
    </xf>
    <xf numFmtId="0" fontId="3" fillId="0" borderId="12" xfId="3" applyFont="1" applyFill="1" applyBorder="1" applyAlignment="1">
      <alignment horizontal="left" vertical="center"/>
    </xf>
    <xf numFmtId="0" fontId="3" fillId="0" borderId="12" xfId="3" applyFont="1" applyFill="1" applyBorder="1" applyAlignment="1">
      <alignment horizontal="left" vertical="center" wrapText="1"/>
    </xf>
    <xf numFmtId="0" fontId="15" fillId="0" borderId="0" xfId="3" applyFont="1" applyFill="1" applyBorder="1" applyAlignment="1">
      <alignment horizontal="center" vertical="center"/>
    </xf>
    <xf numFmtId="1" fontId="3" fillId="2" borderId="12" xfId="3" applyNumberFormat="1" applyFont="1" applyFill="1" applyBorder="1" applyAlignment="1">
      <alignment horizontal="center" vertical="center" shrinkToFit="1"/>
    </xf>
    <xf numFmtId="0" fontId="9" fillId="2" borderId="1" xfId="3" applyFont="1" applyFill="1" applyBorder="1" applyAlignment="1">
      <alignment horizontal="left" vertical="center" wrapText="1"/>
    </xf>
    <xf numFmtId="0" fontId="9" fillId="2" borderId="3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center" vertical="center" wrapText="1"/>
    </xf>
    <xf numFmtId="164" fontId="10" fillId="2" borderId="12" xfId="3" applyNumberFormat="1" applyFont="1" applyFill="1" applyBorder="1" applyAlignment="1">
      <alignment horizontal="center" vertical="center" shrinkToFit="1"/>
    </xf>
    <xf numFmtId="164" fontId="3" fillId="2" borderId="12" xfId="3" applyNumberFormat="1" applyFont="1" applyFill="1" applyBorder="1" applyAlignment="1">
      <alignment horizontal="center" vertical="center" shrinkToFit="1"/>
    </xf>
    <xf numFmtId="3" fontId="3" fillId="2" borderId="12" xfId="3" applyNumberFormat="1" applyFont="1" applyFill="1" applyBorder="1" applyAlignment="1">
      <alignment horizontal="center" vertical="center"/>
    </xf>
    <xf numFmtId="9" fontId="3" fillId="2" borderId="12" xfId="2" applyFont="1" applyFill="1" applyBorder="1" applyAlignment="1">
      <alignment horizontal="center" vertical="center" shrinkToFit="1"/>
    </xf>
    <xf numFmtId="165" fontId="3" fillId="2" borderId="12" xfId="1" applyNumberFormat="1" applyFont="1" applyFill="1" applyBorder="1" applyAlignment="1">
      <alignment horizontal="center" vertical="center" shrinkToFit="1"/>
    </xf>
    <xf numFmtId="3" fontId="3" fillId="2" borderId="12" xfId="3" applyNumberFormat="1" applyFont="1" applyFill="1" applyBorder="1" applyAlignment="1">
      <alignment horizontal="center" vertical="center" shrinkToFit="1"/>
    </xf>
    <xf numFmtId="0" fontId="9" fillId="2" borderId="12" xfId="3" applyFont="1" applyFill="1" applyBorder="1" applyAlignment="1">
      <alignment vertical="center" wrapText="1"/>
    </xf>
    <xf numFmtId="0" fontId="15" fillId="2" borderId="0" xfId="3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horizontal="center" vertical="center" wrapText="1"/>
    </xf>
    <xf numFmtId="164" fontId="10" fillId="5" borderId="12" xfId="3" applyNumberFormat="1" applyFont="1" applyFill="1" applyBorder="1" applyAlignment="1">
      <alignment horizontal="center" vertical="center" shrinkToFit="1"/>
    </xf>
    <xf numFmtId="3" fontId="3" fillId="5" borderId="12" xfId="3" applyNumberFormat="1" applyFont="1" applyFill="1" applyBorder="1" applyAlignment="1">
      <alignment vertical="center" shrinkToFit="1"/>
    </xf>
    <xf numFmtId="3" fontId="3" fillId="5" borderId="12" xfId="3" applyNumberFormat="1" applyFont="1" applyFill="1" applyBorder="1" applyAlignment="1">
      <alignment horizontal="right" vertical="center" shrinkToFit="1"/>
    </xf>
    <xf numFmtId="3" fontId="3" fillId="5" borderId="12" xfId="3" applyNumberFormat="1" applyFont="1" applyFill="1" applyBorder="1" applyAlignment="1">
      <alignment horizontal="center" vertical="center" shrinkToFit="1"/>
    </xf>
    <xf numFmtId="0" fontId="3" fillId="0" borderId="12" xfId="3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5" fillId="4" borderId="8" xfId="3" applyFont="1" applyFill="1" applyBorder="1" applyAlignment="1">
      <alignment horizontal="left" vertical="center" wrapText="1"/>
    </xf>
    <xf numFmtId="0" fontId="9" fillId="0" borderId="12" xfId="3" applyFont="1" applyBorder="1" applyAlignment="1">
      <alignment horizontal="center" vertical="center" wrapText="1"/>
    </xf>
    <xf numFmtId="0" fontId="9" fillId="0" borderId="1" xfId="3" applyFont="1" applyBorder="1" applyAlignment="1">
      <alignment vertical="center" wrapText="1"/>
    </xf>
    <xf numFmtId="0" fontId="9" fillId="0" borderId="12" xfId="3" applyFont="1" applyBorder="1" applyAlignment="1">
      <alignment vertical="center" wrapText="1"/>
    </xf>
    <xf numFmtId="0" fontId="5" fillId="2" borderId="12" xfId="3" applyFont="1" applyFill="1" applyBorder="1" applyAlignment="1">
      <alignment horizontal="left" vertical="center" wrapText="1"/>
    </xf>
    <xf numFmtId="0" fontId="8" fillId="2" borderId="0" xfId="3" applyFont="1" applyFill="1" applyBorder="1" applyAlignment="1">
      <alignment horizontal="center" vertical="center"/>
    </xf>
    <xf numFmtId="0" fontId="3" fillId="0" borderId="12" xfId="3" applyFont="1" applyBorder="1" applyAlignment="1">
      <alignment horizontal="center" vertical="center" wrapText="1"/>
    </xf>
    <xf numFmtId="3" fontId="8" fillId="2" borderId="0" xfId="3" applyNumberFormat="1" applyFont="1" applyFill="1" applyBorder="1" applyAlignment="1">
      <alignment horizontal="center" vertical="center"/>
    </xf>
    <xf numFmtId="0" fontId="5" fillId="5" borderId="12" xfId="3" applyFont="1" applyFill="1" applyBorder="1" applyAlignment="1">
      <alignment vertical="center" wrapText="1"/>
    </xf>
    <xf numFmtId="0" fontId="5" fillId="5" borderId="12" xfId="3" applyFont="1" applyFill="1" applyBorder="1" applyAlignment="1">
      <alignment horizontal="left" vertical="center" wrapText="1"/>
    </xf>
    <xf numFmtId="3" fontId="3" fillId="5" borderId="12" xfId="3" applyNumberFormat="1" applyFont="1" applyFill="1" applyBorder="1" applyAlignment="1">
      <alignment horizontal="center" vertical="center"/>
    </xf>
    <xf numFmtId="9" fontId="3" fillId="5" borderId="12" xfId="3" applyNumberFormat="1" applyFont="1" applyFill="1" applyBorder="1" applyAlignment="1">
      <alignment horizontal="center" vertical="center" shrinkToFit="1"/>
    </xf>
    <xf numFmtId="0" fontId="6" fillId="2" borderId="0" xfId="3" applyFont="1" applyFill="1" applyBorder="1" applyAlignment="1">
      <alignment horizontal="center" vertical="center"/>
    </xf>
    <xf numFmtId="1" fontId="16" fillId="5" borderId="12" xfId="3" applyNumberFormat="1" applyFont="1" applyFill="1" applyBorder="1" applyAlignment="1">
      <alignment horizontal="center" vertical="center" shrinkToFit="1"/>
    </xf>
    <xf numFmtId="0" fontId="17" fillId="5" borderId="1" xfId="3" applyFont="1" applyFill="1" applyBorder="1" applyAlignment="1">
      <alignment horizontal="center" vertical="center" wrapText="1"/>
    </xf>
    <xf numFmtId="0" fontId="17" fillId="5" borderId="3" xfId="3" applyFont="1" applyFill="1" applyBorder="1" applyAlignment="1">
      <alignment horizontal="center" vertical="center" wrapText="1"/>
    </xf>
    <xf numFmtId="0" fontId="17" fillId="5" borderId="12" xfId="3" applyFont="1" applyFill="1" applyBorder="1" applyAlignment="1">
      <alignment horizontal="center" vertical="center" wrapText="1"/>
    </xf>
    <xf numFmtId="3" fontId="16" fillId="5" borderId="12" xfId="3" applyNumberFormat="1" applyFont="1" applyFill="1" applyBorder="1" applyAlignment="1">
      <alignment horizontal="center" vertical="center" shrinkToFit="1"/>
    </xf>
    <xf numFmtId="3" fontId="17" fillId="5" borderId="12" xfId="3" applyNumberFormat="1" applyFont="1" applyFill="1" applyBorder="1" applyAlignment="1">
      <alignment horizontal="center" vertical="center" wrapText="1"/>
    </xf>
    <xf numFmtId="0" fontId="18" fillId="0" borderId="12" xfId="3" applyFont="1" applyFill="1" applyBorder="1" applyAlignment="1">
      <alignment horizontal="center" vertical="center" wrapText="1"/>
    </xf>
    <xf numFmtId="0" fontId="19" fillId="0" borderId="0" xfId="3" applyFont="1" applyFill="1" applyBorder="1" applyAlignment="1">
      <alignment horizontal="center" vertical="center"/>
    </xf>
    <xf numFmtId="0" fontId="19" fillId="2" borderId="0" xfId="3" applyFont="1" applyFill="1" applyBorder="1" applyAlignment="1">
      <alignment horizontal="center" vertical="center"/>
    </xf>
    <xf numFmtId="0" fontId="20" fillId="2" borderId="0" xfId="3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6AC259FE-9AC7-4122-9188-0C562897787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544286</xdr:colOff>
      <xdr:row>0</xdr:row>
      <xdr:rowOff>189138</xdr:rowOff>
    </xdr:from>
    <xdr:ext cx="4774474" cy="2096862"/>
    <xdr:pic>
      <xdr:nvPicPr>
        <xdr:cNvPr id="2" name="image1.png">
          <a:extLst>
            <a:ext uri="{FF2B5EF4-FFF2-40B4-BE49-F238E27FC236}">
              <a16:creationId xmlns:a16="http://schemas.microsoft.com/office/drawing/2014/main" id="{D03AD901-4CA2-4AB5-AA9B-65205687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6" y="189138"/>
          <a:ext cx="4774474" cy="20968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2681-FBAD-45CA-AD09-1F6EB3A20CF2}">
  <dimension ref="A1:W30"/>
  <sheetViews>
    <sheetView tabSelected="1" topLeftCell="A27" zoomScale="50" zoomScaleNormal="50" workbookViewId="0">
      <selection activeCell="F47" sqref="F47"/>
    </sheetView>
  </sheetViews>
  <sheetFormatPr defaultColWidth="8.77734375" defaultRowHeight="13.8" x14ac:dyDescent="0.3"/>
  <cols>
    <col min="1" max="1" width="9.6640625" style="114" customWidth="1"/>
    <col min="2" max="2" width="29.21875" style="114" customWidth="1"/>
    <col min="3" max="3" width="72.88671875" style="124" customWidth="1"/>
    <col min="4" max="4" width="17.33203125" style="114" customWidth="1"/>
    <col min="5" max="8" width="15.5546875" style="114" customWidth="1"/>
    <col min="9" max="9" width="25.44140625" style="114" customWidth="1"/>
    <col min="10" max="10" width="15.33203125" style="114" customWidth="1"/>
    <col min="11" max="13" width="26.44140625" style="114" customWidth="1"/>
    <col min="14" max="14" width="78.6640625" style="114" customWidth="1"/>
    <col min="15" max="15" width="27.77734375" style="114" customWidth="1"/>
    <col min="16" max="16" width="8.77734375" style="114"/>
    <col min="17" max="17" width="13.109375" style="114" customWidth="1"/>
    <col min="18" max="16384" width="8.77734375" style="114"/>
  </cols>
  <sheetData>
    <row r="1" spans="1:23" s="5" customFormat="1" ht="192.6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spans="1:23" s="10" customFormat="1" ht="75.599999999999994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9"/>
      <c r="P2" s="9"/>
    </row>
    <row r="3" spans="1:23" s="5" customFormat="1" ht="24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3"/>
      <c r="P3" s="13"/>
    </row>
    <row r="4" spans="1:23" s="5" customFormat="1" ht="24" customHeight="1" x14ac:dyDescent="0.3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23" s="5" customFormat="1" ht="24" customHeight="1" x14ac:dyDescent="0.3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23" s="5" customFormat="1" ht="24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4"/>
      <c r="P6" s="4"/>
    </row>
    <row r="7" spans="1:23" s="5" customFormat="1" ht="32.4" customHeight="1" x14ac:dyDescent="0.3">
      <c r="A7" s="18"/>
      <c r="B7" s="20" t="s">
        <v>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1" t="s">
        <v>5</v>
      </c>
      <c r="N7" s="19"/>
      <c r="O7" s="4"/>
      <c r="P7" s="4" t="s">
        <v>6</v>
      </c>
    </row>
    <row r="8" spans="1:23" s="5" customFormat="1" ht="33.6" customHeight="1" x14ac:dyDescent="0.3">
      <c r="A8" s="18"/>
      <c r="B8" s="22" t="s">
        <v>7</v>
      </c>
      <c r="C8" s="22"/>
      <c r="D8" s="22"/>
      <c r="E8" s="22"/>
      <c r="F8" s="22"/>
      <c r="G8" s="22"/>
      <c r="H8" s="22"/>
      <c r="I8" s="22"/>
      <c r="J8" s="21"/>
      <c r="K8" s="21"/>
      <c r="L8" s="21"/>
      <c r="M8" s="21" t="s">
        <v>8</v>
      </c>
      <c r="N8" s="19"/>
      <c r="O8" s="4"/>
      <c r="P8" s="4"/>
    </row>
    <row r="9" spans="1:23" s="5" customFormat="1" ht="33.6" customHeight="1" x14ac:dyDescent="0.3">
      <c r="A9" s="18"/>
      <c r="B9" s="23" t="s">
        <v>9</v>
      </c>
      <c r="C9" s="24"/>
      <c r="D9" s="18"/>
      <c r="E9" s="18"/>
      <c r="F9" s="18"/>
      <c r="G9" s="18"/>
      <c r="H9" s="18"/>
      <c r="I9" s="21"/>
      <c r="J9" s="25"/>
      <c r="K9" s="25"/>
      <c r="L9" s="25"/>
      <c r="M9" s="21" t="s">
        <v>10</v>
      </c>
      <c r="N9" s="19"/>
      <c r="O9" s="18"/>
      <c r="P9" s="18"/>
    </row>
    <row r="10" spans="1:23" s="33" customFormat="1" ht="61.8" customHeight="1" x14ac:dyDescent="0.3">
      <c r="A10" s="26" t="s">
        <v>11</v>
      </c>
      <c r="B10" s="27" t="s">
        <v>12</v>
      </c>
      <c r="C10" s="28"/>
      <c r="D10" s="26" t="s">
        <v>13</v>
      </c>
      <c r="E10" s="29" t="s">
        <v>14</v>
      </c>
      <c r="F10" s="30" t="s">
        <v>15</v>
      </c>
      <c r="G10" s="31"/>
      <c r="H10" s="32"/>
      <c r="I10" s="26" t="s">
        <v>16</v>
      </c>
      <c r="J10" s="26" t="s">
        <v>17</v>
      </c>
      <c r="K10" s="26" t="s">
        <v>18</v>
      </c>
      <c r="L10" s="26" t="s">
        <v>19</v>
      </c>
      <c r="M10" s="26" t="s">
        <v>20</v>
      </c>
      <c r="N10" s="26" t="s">
        <v>21</v>
      </c>
    </row>
    <row r="11" spans="1:23" s="33" customFormat="1" ht="61.8" customHeight="1" x14ac:dyDescent="0.3">
      <c r="A11" s="34"/>
      <c r="B11" s="35"/>
      <c r="C11" s="36"/>
      <c r="D11" s="34"/>
      <c r="E11" s="37"/>
      <c r="F11" s="38" t="s">
        <v>22</v>
      </c>
      <c r="G11" s="38" t="s">
        <v>23</v>
      </c>
      <c r="H11" s="38" t="s">
        <v>24</v>
      </c>
      <c r="I11" s="34"/>
      <c r="J11" s="34"/>
      <c r="K11" s="34"/>
      <c r="L11" s="34"/>
      <c r="M11" s="34"/>
      <c r="N11" s="34"/>
    </row>
    <row r="12" spans="1:23" s="42" customFormat="1" ht="65.400000000000006" customHeight="1" x14ac:dyDescent="0.3">
      <c r="A12" s="39" t="s">
        <v>25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  <c r="Q12" s="42" t="s">
        <v>6</v>
      </c>
    </row>
    <row r="13" spans="1:23" s="33" customFormat="1" ht="175.2" customHeight="1" x14ac:dyDescent="0.3">
      <c r="A13" s="43">
        <v>1</v>
      </c>
      <c r="B13" s="44" t="s">
        <v>26</v>
      </c>
      <c r="C13" s="44"/>
      <c r="D13" s="45" t="s">
        <v>27</v>
      </c>
      <c r="E13" s="46">
        <v>3.65</v>
      </c>
      <c r="F13" s="47">
        <v>0.7</v>
      </c>
      <c r="G13" s="47">
        <f>E13</f>
        <v>3.65</v>
      </c>
      <c r="H13" s="47">
        <v>0.38</v>
      </c>
      <c r="I13" s="48">
        <v>5800000</v>
      </c>
      <c r="J13" s="49">
        <v>0</v>
      </c>
      <c r="K13" s="50">
        <f>I13</f>
        <v>5800000</v>
      </c>
      <c r="L13" s="50">
        <f t="shared" ref="L13:L14" si="0">I13*E13*J13</f>
        <v>0</v>
      </c>
      <c r="M13" s="48">
        <f t="shared" ref="M13" si="1">E13*K13</f>
        <v>21170000</v>
      </c>
      <c r="N13" s="51" t="s">
        <v>28</v>
      </c>
      <c r="Q13" s="52"/>
    </row>
    <row r="14" spans="1:23" s="33" customFormat="1" ht="175.2" customHeight="1" x14ac:dyDescent="0.3">
      <c r="A14" s="43">
        <v>2</v>
      </c>
      <c r="B14" s="44" t="s">
        <v>29</v>
      </c>
      <c r="C14" s="44"/>
      <c r="D14" s="45" t="s">
        <v>27</v>
      </c>
      <c r="E14" s="46">
        <v>3.45</v>
      </c>
      <c r="F14" s="47">
        <v>0.86</v>
      </c>
      <c r="G14" s="47">
        <f>E14</f>
        <v>3.45</v>
      </c>
      <c r="H14" s="47">
        <v>0.61</v>
      </c>
      <c r="I14" s="48">
        <v>6400000</v>
      </c>
      <c r="J14" s="49">
        <v>0</v>
      </c>
      <c r="K14" s="50">
        <f t="shared" ref="K14" si="2">I14</f>
        <v>6400000</v>
      </c>
      <c r="L14" s="50">
        <f t="shared" si="0"/>
        <v>0</v>
      </c>
      <c r="M14" s="48">
        <f>E14*K14</f>
        <v>22080000</v>
      </c>
      <c r="N14" s="53"/>
      <c r="Q14" s="52"/>
    </row>
    <row r="15" spans="1:23" s="33" customFormat="1" ht="62.4" customHeight="1" x14ac:dyDescent="0.3">
      <c r="A15" s="54"/>
      <c r="B15" s="55" t="s">
        <v>30</v>
      </c>
      <c r="C15" s="56"/>
      <c r="D15" s="57"/>
      <c r="E15" s="58"/>
      <c r="F15" s="59"/>
      <c r="G15" s="59"/>
      <c r="H15" s="59"/>
      <c r="I15" s="60"/>
      <c r="J15" s="61"/>
      <c r="K15" s="61"/>
      <c r="L15" s="62">
        <f>SUM(L13:L14)</f>
        <v>0</v>
      </c>
      <c r="M15" s="63">
        <f>SUM(M13:M14)</f>
        <v>43250000</v>
      </c>
      <c r="N15" s="64"/>
      <c r="O15" s="65"/>
      <c r="P15" s="65"/>
      <c r="Q15" s="52"/>
      <c r="R15" s="33" t="s">
        <v>6</v>
      </c>
      <c r="S15" s="65"/>
      <c r="T15" s="65"/>
      <c r="U15" s="66"/>
      <c r="V15" s="66"/>
      <c r="W15" s="66"/>
    </row>
    <row r="16" spans="1:23" s="42" customFormat="1" ht="64.8" customHeight="1" x14ac:dyDescent="0.3">
      <c r="A16" s="67" t="s">
        <v>31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9"/>
    </row>
    <row r="17" spans="1:23" s="66" customFormat="1" ht="75" customHeight="1" x14ac:dyDescent="0.3">
      <c r="A17" s="70" t="s">
        <v>11</v>
      </c>
      <c r="B17" s="71" t="s">
        <v>32</v>
      </c>
      <c r="C17" s="72"/>
      <c r="D17" s="70" t="s">
        <v>13</v>
      </c>
      <c r="E17" s="70" t="s">
        <v>14</v>
      </c>
      <c r="F17" s="70" t="s">
        <v>22</v>
      </c>
      <c r="G17" s="70" t="s">
        <v>23</v>
      </c>
      <c r="H17" s="70" t="s">
        <v>24</v>
      </c>
      <c r="I17" s="70" t="s">
        <v>16</v>
      </c>
      <c r="J17" s="70" t="s">
        <v>17</v>
      </c>
      <c r="K17" s="70" t="s">
        <v>18</v>
      </c>
      <c r="L17" s="70" t="s">
        <v>19</v>
      </c>
      <c r="M17" s="70" t="s">
        <v>20</v>
      </c>
      <c r="N17" s="70"/>
    </row>
    <row r="18" spans="1:23" s="10" customFormat="1" ht="90.6" customHeight="1" x14ac:dyDescent="0.3">
      <c r="A18" s="73">
        <v>1</v>
      </c>
      <c r="B18" s="74" t="s">
        <v>33</v>
      </c>
      <c r="C18" s="75"/>
      <c r="D18" s="76" t="s">
        <v>27</v>
      </c>
      <c r="E18" s="46">
        <v>4</v>
      </c>
      <c r="F18" s="77">
        <v>0.7</v>
      </c>
      <c r="G18" s="77"/>
      <c r="H18" s="77"/>
      <c r="I18" s="78">
        <v>950000</v>
      </c>
      <c r="J18" s="79">
        <v>0</v>
      </c>
      <c r="K18" s="50">
        <f t="shared" ref="K18:K19" si="3">ROUND(I18-(I18*J18),-3)</f>
        <v>950000</v>
      </c>
      <c r="L18" s="50">
        <f>ROUND(I18*E18*J18,-3)</f>
        <v>0</v>
      </c>
      <c r="M18" s="48">
        <f>E18*K18</f>
        <v>3800000</v>
      </c>
      <c r="N18" s="80" t="s">
        <v>34</v>
      </c>
    </row>
    <row r="19" spans="1:23" s="82" customFormat="1" ht="99" customHeight="1" x14ac:dyDescent="0.3">
      <c r="A19" s="73">
        <v>2</v>
      </c>
      <c r="B19" s="74" t="s">
        <v>35</v>
      </c>
      <c r="C19" s="75"/>
      <c r="D19" s="76" t="s">
        <v>27</v>
      </c>
      <c r="E19" s="46">
        <v>3.4</v>
      </c>
      <c r="F19" s="77"/>
      <c r="G19" s="77"/>
      <c r="H19" s="77">
        <v>0.61</v>
      </c>
      <c r="I19" s="78">
        <v>2200000</v>
      </c>
      <c r="J19" s="79">
        <v>0</v>
      </c>
      <c r="K19" s="50">
        <f t="shared" si="3"/>
        <v>2200000</v>
      </c>
      <c r="L19" s="50">
        <f>ROUND(I19*E19*J19,-3)</f>
        <v>0</v>
      </c>
      <c r="M19" s="48">
        <f>E19*K19</f>
        <v>7480000</v>
      </c>
      <c r="N19" s="81" t="s">
        <v>36</v>
      </c>
    </row>
    <row r="20" spans="1:23" s="94" customFormat="1" ht="94.2" customHeight="1" x14ac:dyDescent="0.3">
      <c r="A20" s="83">
        <v>3</v>
      </c>
      <c r="B20" s="84" t="s">
        <v>37</v>
      </c>
      <c r="C20" s="85"/>
      <c r="D20" s="86" t="s">
        <v>27</v>
      </c>
      <c r="E20" s="87">
        <v>4</v>
      </c>
      <c r="F20" s="88"/>
      <c r="G20" s="88"/>
      <c r="H20" s="88"/>
      <c r="I20" s="89">
        <v>280000</v>
      </c>
      <c r="J20" s="90">
        <v>0</v>
      </c>
      <c r="K20" s="91">
        <f>I20</f>
        <v>280000</v>
      </c>
      <c r="L20" s="91">
        <f>ROUND(I20*E20*J20,-3)</f>
        <v>0</v>
      </c>
      <c r="M20" s="92">
        <f>E20*K20</f>
        <v>1120000</v>
      </c>
      <c r="N20" s="93" t="s">
        <v>37</v>
      </c>
    </row>
    <row r="21" spans="1:23" s="101" customFormat="1" ht="72.599999999999994" customHeight="1" x14ac:dyDescent="0.3">
      <c r="A21" s="54"/>
      <c r="B21" s="55" t="s">
        <v>38</v>
      </c>
      <c r="C21" s="56"/>
      <c r="D21" s="95"/>
      <c r="E21" s="96"/>
      <c r="F21" s="97"/>
      <c r="G21" s="97"/>
      <c r="H21" s="97"/>
      <c r="I21" s="98"/>
      <c r="J21" s="99"/>
      <c r="K21" s="99"/>
      <c r="L21" s="99"/>
      <c r="M21" s="63">
        <f>SUM(M18:M20)</f>
        <v>12400000</v>
      </c>
      <c r="N21" s="100"/>
    </row>
    <row r="22" spans="1:23" s="42" customFormat="1" ht="68.400000000000006" customHeight="1" x14ac:dyDescent="0.3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  <row r="23" spans="1:23" s="33" customFormat="1" ht="81" customHeight="1" x14ac:dyDescent="0.3">
      <c r="A23" s="70" t="s">
        <v>11</v>
      </c>
      <c r="B23" s="70" t="s">
        <v>40</v>
      </c>
      <c r="C23" s="70" t="s">
        <v>32</v>
      </c>
      <c r="D23" s="70" t="s">
        <v>13</v>
      </c>
      <c r="E23" s="70" t="s">
        <v>41</v>
      </c>
      <c r="F23" s="70"/>
      <c r="G23" s="70"/>
      <c r="H23" s="70"/>
      <c r="I23" s="70" t="s">
        <v>16</v>
      </c>
      <c r="J23" s="70" t="s">
        <v>42</v>
      </c>
      <c r="K23" s="102" t="s">
        <v>18</v>
      </c>
      <c r="L23" s="70" t="s">
        <v>19</v>
      </c>
      <c r="M23" s="70" t="s">
        <v>43</v>
      </c>
      <c r="N23" s="70"/>
    </row>
    <row r="24" spans="1:23" s="107" customFormat="1" ht="90" customHeight="1" x14ac:dyDescent="0.3">
      <c r="A24" s="73">
        <v>1</v>
      </c>
      <c r="B24" s="103" t="s">
        <v>44</v>
      </c>
      <c r="C24" s="104" t="s">
        <v>45</v>
      </c>
      <c r="D24" s="103" t="s">
        <v>46</v>
      </c>
      <c r="E24" s="103">
        <v>1</v>
      </c>
      <c r="F24" s="105"/>
      <c r="G24" s="105"/>
      <c r="H24" s="106"/>
      <c r="I24" s="78">
        <v>4444444</v>
      </c>
      <c r="J24" s="49">
        <v>0.35</v>
      </c>
      <c r="K24" s="50">
        <f>ROUND(I24-(I24*J24),-3)</f>
        <v>2889000</v>
      </c>
      <c r="L24" s="50">
        <f t="shared" ref="L24:L28" si="4">ROUND(I24*E24*J24,-3)</f>
        <v>1556000</v>
      </c>
      <c r="M24" s="48">
        <f t="shared" ref="M24:M28" si="5">E24*K24</f>
        <v>2889000</v>
      </c>
      <c r="N24" s="106"/>
    </row>
    <row r="25" spans="1:23" s="107" customFormat="1" ht="90" customHeight="1" x14ac:dyDescent="0.3">
      <c r="A25" s="73">
        <v>2</v>
      </c>
      <c r="B25" s="103" t="s">
        <v>47</v>
      </c>
      <c r="C25" s="104" t="s">
        <v>48</v>
      </c>
      <c r="D25" s="103" t="s">
        <v>46</v>
      </c>
      <c r="E25" s="103">
        <v>1</v>
      </c>
      <c r="F25" s="105"/>
      <c r="G25" s="105"/>
      <c r="H25" s="106"/>
      <c r="I25" s="78">
        <v>8890000</v>
      </c>
      <c r="J25" s="49">
        <v>0.35</v>
      </c>
      <c r="K25" s="50">
        <f>ROUND(I25-(I25*J25),-3)</f>
        <v>5779000</v>
      </c>
      <c r="L25" s="50">
        <f t="shared" si="4"/>
        <v>3112000</v>
      </c>
      <c r="M25" s="48">
        <f t="shared" si="5"/>
        <v>5779000</v>
      </c>
      <c r="N25" s="106"/>
    </row>
    <row r="26" spans="1:23" s="107" customFormat="1" ht="90" customHeight="1" x14ac:dyDescent="0.3">
      <c r="A26" s="73">
        <v>3</v>
      </c>
      <c r="B26" s="108" t="s">
        <v>49</v>
      </c>
      <c r="C26" s="104" t="s">
        <v>50</v>
      </c>
      <c r="D26" s="103" t="s">
        <v>46</v>
      </c>
      <c r="E26" s="103">
        <v>1</v>
      </c>
      <c r="F26" s="105"/>
      <c r="G26" s="105"/>
      <c r="H26" s="106"/>
      <c r="I26" s="78">
        <v>3660000</v>
      </c>
      <c r="J26" s="49">
        <v>0.35</v>
      </c>
      <c r="K26" s="50">
        <f t="shared" ref="K26:K28" si="6">ROUND(I26-(I26*J26),-3)</f>
        <v>2379000</v>
      </c>
      <c r="L26" s="50">
        <f t="shared" si="4"/>
        <v>1281000</v>
      </c>
      <c r="M26" s="48">
        <f t="shared" si="5"/>
        <v>2379000</v>
      </c>
      <c r="N26" s="106"/>
    </row>
    <row r="27" spans="1:23" s="107" customFormat="1" ht="90" customHeight="1" x14ac:dyDescent="0.3">
      <c r="A27" s="73">
        <v>4</v>
      </c>
      <c r="B27" s="108" t="s">
        <v>51</v>
      </c>
      <c r="C27" s="104" t="s">
        <v>52</v>
      </c>
      <c r="D27" s="103" t="s">
        <v>46</v>
      </c>
      <c r="E27" s="103">
        <v>1</v>
      </c>
      <c r="F27" s="105"/>
      <c r="G27" s="105"/>
      <c r="H27" s="106"/>
      <c r="I27" s="78">
        <v>3710000</v>
      </c>
      <c r="J27" s="49">
        <v>0.35</v>
      </c>
      <c r="K27" s="50">
        <f t="shared" si="6"/>
        <v>2412000</v>
      </c>
      <c r="L27" s="50">
        <f t="shared" si="4"/>
        <v>1299000</v>
      </c>
      <c r="M27" s="48">
        <f t="shared" si="5"/>
        <v>2412000</v>
      </c>
      <c r="N27" s="106"/>
      <c r="O27" s="109"/>
    </row>
    <row r="28" spans="1:23" s="107" customFormat="1" ht="91.2" customHeight="1" x14ac:dyDescent="0.3">
      <c r="A28" s="73">
        <v>5</v>
      </c>
      <c r="B28" s="108" t="s">
        <v>53</v>
      </c>
      <c r="C28" s="105" t="s">
        <v>54</v>
      </c>
      <c r="D28" s="103" t="s">
        <v>46</v>
      </c>
      <c r="E28" s="103">
        <v>1</v>
      </c>
      <c r="F28" s="105"/>
      <c r="G28" s="105"/>
      <c r="H28" s="106"/>
      <c r="I28" s="78">
        <v>3790000</v>
      </c>
      <c r="J28" s="49">
        <v>0.35</v>
      </c>
      <c r="K28" s="50">
        <f t="shared" si="6"/>
        <v>2464000</v>
      </c>
      <c r="L28" s="50">
        <f t="shared" si="4"/>
        <v>1327000</v>
      </c>
      <c r="M28" s="48">
        <f t="shared" si="5"/>
        <v>2464000</v>
      </c>
      <c r="N28" s="106"/>
      <c r="O28" s="109"/>
    </row>
    <row r="29" spans="1:23" ht="80.400000000000006" customHeight="1" x14ac:dyDescent="0.3">
      <c r="A29" s="54"/>
      <c r="B29" s="95"/>
      <c r="C29" s="110" t="s">
        <v>55</v>
      </c>
      <c r="D29" s="95"/>
      <c r="E29" s="96"/>
      <c r="F29" s="111"/>
      <c r="G29" s="111"/>
      <c r="H29" s="111"/>
      <c r="I29" s="112"/>
      <c r="J29" s="113"/>
      <c r="K29" s="62"/>
      <c r="L29" s="62">
        <f>SUM(L24:L28)</f>
        <v>8575000</v>
      </c>
      <c r="M29" s="63">
        <f>SUM(M24:M28)</f>
        <v>15923000</v>
      </c>
      <c r="N29" s="106"/>
    </row>
    <row r="30" spans="1:23" s="122" customFormat="1" ht="80.400000000000006" customHeight="1" x14ac:dyDescent="0.3">
      <c r="A30" s="115"/>
      <c r="B30" s="116" t="s">
        <v>56</v>
      </c>
      <c r="C30" s="117"/>
      <c r="D30" s="118"/>
      <c r="E30" s="119"/>
      <c r="F30" s="119"/>
      <c r="G30" s="119"/>
      <c r="H30" s="119"/>
      <c r="I30" s="120"/>
      <c r="J30" s="120"/>
      <c r="K30" s="120"/>
      <c r="L30" s="120"/>
      <c r="M30" s="120">
        <f>M29+M15+M21</f>
        <v>71573000</v>
      </c>
      <c r="N30" s="121"/>
      <c r="S30" s="123"/>
      <c r="T30" s="123"/>
      <c r="U30" s="123"/>
      <c r="V30" s="123"/>
      <c r="W30" s="123"/>
    </row>
  </sheetData>
  <mergeCells count="30">
    <mergeCell ref="B18:C18"/>
    <mergeCell ref="B19:C19"/>
    <mergeCell ref="B20:C20"/>
    <mergeCell ref="B21:C21"/>
    <mergeCell ref="A22:N22"/>
    <mergeCell ref="B30:C30"/>
    <mergeCell ref="B13:C13"/>
    <mergeCell ref="N13:N15"/>
    <mergeCell ref="B14:C14"/>
    <mergeCell ref="B15:C15"/>
    <mergeCell ref="A16:N16"/>
    <mergeCell ref="B17:C17"/>
    <mergeCell ref="J10:J11"/>
    <mergeCell ref="K10:K11"/>
    <mergeCell ref="L10:L11"/>
    <mergeCell ref="M10:M11"/>
    <mergeCell ref="N10:N11"/>
    <mergeCell ref="A12:N12"/>
    <mergeCell ref="A10:A11"/>
    <mergeCell ref="B10:C11"/>
    <mergeCell ref="D10:D11"/>
    <mergeCell ref="E10:E11"/>
    <mergeCell ref="F10:H10"/>
    <mergeCell ref="I10:I11"/>
    <mergeCell ref="A1:N1"/>
    <mergeCell ref="A2:N2"/>
    <mergeCell ref="A4:N4"/>
    <mergeCell ref="A5:N5"/>
    <mergeCell ref="B7:L7"/>
    <mergeCell ref="B8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chị tuyết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2026-05-05T04:14:55Z</dcterms:created>
  <dcterms:modified xsi:type="dcterms:W3CDTF">2026-05-05T04:15:14Z</dcterms:modified>
</cp:coreProperties>
</file>